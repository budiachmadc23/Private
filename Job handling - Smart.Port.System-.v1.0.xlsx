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600" tabRatio="888" activeTab="1"/>
  </bookViews>
  <sheets>
    <sheet name="KEK-UAT-SCRIPT" sheetId="1" r:id="rId1"/>
    <sheet name="KEK-011-A" sheetId="33" r:id="rId2"/>
    <sheet name="KEK-011-B" sheetId="52" r:id="rId3"/>
    <sheet name="KEK-030" sheetId="43" r:id="rId4"/>
    <sheet name="KEK-040 A" sheetId="44" r:id="rId5"/>
    <sheet name="KEK-040 B" sheetId="47" r:id="rId6"/>
    <sheet name="KEK-050" sheetId="46" r:id="rId7"/>
    <sheet name="KEK-060" sheetId="48" r:id="rId8"/>
    <sheet name="KEK-070" sheetId="49" r:id="rId9"/>
    <sheet name="KEK-080" sheetId="50" r:id="rId10"/>
    <sheet name="KEK-090" sheetId="51" r:id="rId11"/>
  </sheets>
  <definedNames>
    <definedName name="_xlnm._FilterDatabase" localSheetId="0" hidden="1">'KEK-UAT-SCRIPT'!$A$7:$AB$9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<sst xmlns="http://schemas.openxmlformats.org/spreadsheetml/2006/main" count="373" uniqueCount="132">
  <si>
    <t>Script ID</t>
  </si>
  <si>
    <t>KEK-SMARTPORT-PHASE-1</t>
  </si>
  <si>
    <t>System Application</t>
  </si>
  <si>
    <t>Website - Smart Port System</t>
  </si>
  <si>
    <t>Description</t>
  </si>
  <si>
    <t>Opearation Job Handling Process</t>
  </si>
  <si>
    <t>Detail Scenario</t>
  </si>
  <si>
    <t>Create, Import, Payment, Confirm &amp; Canceling Job Handling</t>
  </si>
  <si>
    <t>Comments</t>
  </si>
  <si>
    <r>
      <rPr>
        <b/>
        <sz val="11"/>
        <color theme="1"/>
        <rFont val="Calibri"/>
        <charset val="134"/>
        <scheme val="minor"/>
      </rPr>
      <t>Pre requisite:</t>
    </r>
    <r>
      <rPr>
        <sz val="11"/>
        <color theme="1"/>
        <rFont val="Calibri"/>
        <charset val="134"/>
        <scheme val="minor"/>
      </rPr>
      <t xml:space="preserve">
* Business Function: Finance &amp; Forwarder.
* Module: 
   - Job Handling</t>
    </r>
  </si>
  <si>
    <t>Overall Statistic (do not remove)</t>
  </si>
  <si>
    <t>Index</t>
  </si>
  <si>
    <t>Script Description</t>
  </si>
  <si>
    <t>Module</t>
  </si>
  <si>
    <t>Business Function</t>
  </si>
  <si>
    <t>Executed</t>
  </si>
  <si>
    <t>Pass</t>
  </si>
  <si>
    <t>Fail</t>
  </si>
  <si>
    <t>KEK-011-A</t>
  </si>
  <si>
    <t>Create Job Handling by admin user Dry Port</t>
  </si>
  <si>
    <t>Main/Job Handling</t>
  </si>
  <si>
    <t>Admin</t>
  </si>
  <si>
    <t>KEK-011-B</t>
  </si>
  <si>
    <t>Create Job Handling by User Forwarder</t>
  </si>
  <si>
    <t>Forwarder</t>
  </si>
  <si>
    <t>Test ID</t>
  </si>
  <si>
    <t>Create Job hanlding</t>
  </si>
  <si>
    <t>Detail Case</t>
  </si>
  <si>
    <t>Create Manual Job Handling, Import Job Handling, Generate Invoice, Payment, Confirm Payment data Job handling Dry Port by Finance User</t>
  </si>
  <si>
    <t>Login as</t>
  </si>
  <si>
    <t>Finance</t>
  </si>
  <si>
    <t>Step</t>
  </si>
  <si>
    <t>Team</t>
  </si>
  <si>
    <t>Responsibility</t>
  </si>
  <si>
    <t>Menu</t>
  </si>
  <si>
    <t>Activities</t>
  </si>
  <si>
    <t>Process Step/Test Data</t>
  </si>
  <si>
    <t>Expected Result</t>
  </si>
  <si>
    <t>Key User</t>
  </si>
  <si>
    <t>Pass/Fail</t>
  </si>
  <si>
    <t>Remarks</t>
  </si>
  <si>
    <t>Sei Mengkei</t>
  </si>
  <si>
    <t>Create Job Handling</t>
  </si>
  <si>
    <r>
      <rPr>
        <sz val="11"/>
        <color theme="1"/>
        <rFont val="Calibri"/>
        <charset val="134"/>
        <scheme val="minor"/>
      </rPr>
      <t xml:space="preserve">1. Open Menu Job Handling.
2. Click </t>
    </r>
    <r>
      <rPr>
        <i/>
        <sz val="11"/>
        <color theme="1"/>
        <rFont val="Calibri"/>
        <charset val="134"/>
        <scheme val="minor"/>
      </rPr>
      <t xml:space="preserve">Create Job Handling </t>
    </r>
    <r>
      <rPr>
        <sz val="11"/>
        <color theme="1"/>
        <rFont val="Calibri"/>
        <charset val="134"/>
        <scheme val="minor"/>
      </rPr>
      <t>Button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Choose type Job: </t>
    </r>
    <r>
      <rPr>
        <b/>
        <sz val="11"/>
        <color theme="1"/>
        <rFont val="Calibri"/>
        <charset val="134"/>
        <scheme val="minor"/>
      </rPr>
      <t>(Choose Receiving)</t>
    </r>
    <r>
      <rPr>
        <sz val="11"/>
        <color theme="1"/>
        <rFont val="Calibri"/>
        <charset val="134"/>
        <scheme val="minor"/>
      </rPr>
      <t xml:space="preserve"> 
4. Choose Forwarder: </t>
    </r>
    <r>
      <rPr>
        <b/>
        <sz val="11"/>
        <color theme="1"/>
        <rFont val="Calibri"/>
        <charset val="134"/>
        <scheme val="minor"/>
      </rPr>
      <t>(PT Tri Delta)</t>
    </r>
    <r>
      <rPr>
        <sz val="11"/>
        <color theme="1"/>
        <rFont val="Calibri"/>
        <charset val="134"/>
        <scheme val="minor"/>
      </rPr>
      <t xml:space="preserve">
5. Choose Cargo Owner/Customer: </t>
    </r>
    <r>
      <rPr>
        <b/>
        <sz val="11"/>
        <color theme="1"/>
        <rFont val="Calibri"/>
        <charset val="134"/>
        <scheme val="minor"/>
      </rPr>
      <t>(PT Unilever Cheomical Indonesia)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6. Choose Storage Type: </t>
    </r>
    <r>
      <rPr>
        <b/>
        <sz val="11"/>
        <color theme="1"/>
        <rFont val="Calibri"/>
        <charset val="134"/>
        <scheme val="minor"/>
      </rPr>
      <t xml:space="preserve">(CY)
</t>
    </r>
    <r>
      <rPr>
        <sz val="11"/>
        <color theme="1"/>
        <rFont val="Calibri"/>
        <charset val="134"/>
        <scheme val="minor"/>
      </rPr>
      <t xml:space="preserve">7. Choose Commodities: Sodium, Drupe HDPE, etc
8. Click Next
9. Click CheckBox: </t>
    </r>
    <r>
      <rPr>
        <b/>
        <sz val="11"/>
        <color theme="1"/>
        <rFont val="Calibri"/>
        <charset val="134"/>
        <scheme val="minor"/>
      </rPr>
      <t>Based Total Conatainer to Create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10</t>
    </r>
    <r>
      <rPr>
        <sz val="11"/>
        <color theme="1"/>
        <rFont val="Calibri"/>
        <charset val="134"/>
        <scheme val="minor"/>
      </rPr>
      <t>. Input Plate Number Vehicle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11. Input Container Number: </t>
    </r>
    <r>
      <rPr>
        <b/>
        <sz val="11"/>
        <color theme="1"/>
        <rFont val="Calibri"/>
        <charset val="134"/>
        <scheme val="minor"/>
      </rPr>
      <t>Max 11 Character</t>
    </r>
    <r>
      <rPr>
        <sz val="11"/>
        <color theme="1"/>
        <rFont val="Calibri"/>
        <charset val="134"/>
        <scheme val="minor"/>
      </rPr>
      <t xml:space="preserve">
12. Input Shield Number: Max 10 Character</t>
    </r>
    <r>
      <rPr>
        <b/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13. Choose Container Catgory: </t>
    </r>
    <r>
      <rPr>
        <b/>
        <sz val="11"/>
        <color theme="1"/>
        <rFont val="Calibri"/>
        <charset val="134"/>
        <scheme val="minor"/>
      </rPr>
      <t xml:space="preserve">DRY/ISO TANK
</t>
    </r>
    <r>
      <rPr>
        <sz val="11"/>
        <color theme="1"/>
        <rFont val="Calibri"/>
        <charset val="134"/>
        <scheme val="minor"/>
      </rPr>
      <t xml:space="preserve">14. Choose Inbound Date
15. Choose Outbound Date
16. Set Toggle Lift ON: </t>
    </r>
    <r>
      <rPr>
        <b/>
        <sz val="11"/>
        <color theme="1"/>
        <rFont val="Calibri"/>
        <charset val="134"/>
        <scheme val="minor"/>
      </rPr>
      <t>(Based on Condition)</t>
    </r>
    <r>
      <rPr>
        <sz val="11"/>
        <color theme="1"/>
        <rFont val="Calibri"/>
        <charset val="134"/>
        <scheme val="minor"/>
      </rPr>
      <t xml:space="preserve">
17. Set Toggle Lift OFF: </t>
    </r>
    <r>
      <rPr>
        <b/>
        <sz val="11"/>
        <color theme="1"/>
        <rFont val="Calibri"/>
        <charset val="134"/>
        <scheme val="minor"/>
      </rPr>
      <t>(Based on Condition)</t>
    </r>
    <r>
      <rPr>
        <sz val="11"/>
        <color theme="1"/>
        <rFont val="Calibri"/>
        <charset val="134"/>
        <scheme val="minor"/>
      </rPr>
      <t xml:space="preserve">
18. Choose Size Container: 20ft Full, 40ft Full, etc
19. Click Next
20. Please check detail data before submit.
21. Click Submit for create Job Handling.</t>
    </r>
  </si>
  <si>
    <t>* Successfully Create Job Handling data with Status Jh Issued and data displays on datatable list.</t>
  </si>
  <si>
    <t>Import Job Handling</t>
  </si>
  <si>
    <r>
      <rPr>
        <sz val="11"/>
        <color theme="1"/>
        <rFont val="Calibri"/>
        <charset val="134"/>
        <scheme val="minor"/>
      </rPr>
      <t xml:space="preserve">1. Open Menu Job Handling
2. Click </t>
    </r>
    <r>
      <rPr>
        <b/>
        <i/>
        <sz val="11"/>
        <color theme="1"/>
        <rFont val="Calibri"/>
        <charset val="134"/>
        <scheme val="minor"/>
      </rPr>
      <t>Import Job Handling</t>
    </r>
    <r>
      <rPr>
        <sz val="11"/>
        <color theme="1"/>
        <rFont val="Calibri"/>
        <charset val="134"/>
        <scheme val="minor"/>
      </rPr>
      <t xml:space="preserve"> Button</t>
    </r>
    <r>
      <rPr>
        <i/>
        <sz val="11"/>
        <color theme="1"/>
        <rFont val="Calibri"/>
        <charset val="134"/>
        <scheme val="minor"/>
      </rPr>
      <t xml:space="preserve">.
3. Click here to download import job handling template </t>
    </r>
    <r>
      <rPr>
        <b/>
        <i/>
        <sz val="11"/>
        <color theme="1"/>
        <rFont val="Calibri"/>
        <charset val="134"/>
        <scheme val="minor"/>
      </rPr>
      <t>(if dont have template for upload Job handling)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Choose Exce File will be uploaded.
4. Click </t>
    </r>
    <r>
      <rPr>
        <i/>
        <sz val="11"/>
        <color theme="1"/>
        <rFont val="Calibri"/>
        <charset val="134"/>
        <scheme val="minor"/>
      </rPr>
      <t xml:space="preserve">Submit </t>
    </r>
    <r>
      <rPr>
        <sz val="11"/>
        <color theme="1"/>
        <rFont val="Calibri"/>
        <charset val="134"/>
        <scheme val="minor"/>
      </rPr>
      <t>Button for create Job handling.</t>
    </r>
  </si>
  <si>
    <t>Generate Invoice Job Handling</t>
  </si>
  <si>
    <r>
      <rPr>
        <sz val="11"/>
        <color theme="1"/>
        <rFont val="Calibri"/>
        <charset val="134"/>
        <scheme val="minor"/>
      </rPr>
      <t>1. Open Menu Job Handling
2. Search Job will be payment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3. Click detail (i) icon on the right side.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 xml:space="preserve">. Click the </t>
    </r>
    <r>
      <rPr>
        <b/>
        <sz val="11"/>
        <color theme="1"/>
        <rFont val="Calibri"/>
        <charset val="134"/>
        <scheme val="minor"/>
      </rPr>
      <t>“Generate Invoice”</t>
    </r>
    <r>
      <rPr>
        <sz val="11"/>
        <color theme="1"/>
        <rFont val="Calibri"/>
        <charset val="134"/>
        <scheme val="minor"/>
      </rPr>
      <t xml:space="preserve"> button in the upper right corner.
5. System will display invoice
6. If the invoice is correct, click the </t>
    </r>
    <r>
      <rPr>
        <b/>
        <sz val="11"/>
        <color theme="1"/>
        <rFont val="Calibri"/>
        <charset val="134"/>
        <scheme val="minor"/>
      </rPr>
      <t>“Approve</t>
    </r>
    <r>
      <rPr>
        <sz val="11"/>
        <color theme="1"/>
        <rFont val="Calibri"/>
        <charset val="134"/>
        <scheme val="minor"/>
      </rPr>
      <t>” button.</t>
    </r>
  </si>
  <si>
    <t>* Successfully Generated invoice and system send the invoice to email address Forwarder and System Update JH status to JH Waiting Payment</t>
  </si>
  <si>
    <t>Payment Job Handling</t>
  </si>
  <si>
    <r>
      <rPr>
        <sz val="11"/>
        <color theme="1"/>
        <rFont val="Calibri"/>
        <charset val="134"/>
        <scheme val="minor"/>
      </rPr>
      <t>1. Open Menu Job Handling
2. Search Job will be payment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3. Click detail (i) icon on the right side.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 xml:space="preserve">. Click the </t>
    </r>
    <r>
      <rPr>
        <b/>
        <sz val="11"/>
        <color theme="1"/>
        <rFont val="Calibri"/>
        <charset val="134"/>
        <scheme val="minor"/>
      </rPr>
      <t>“Upload Payment”</t>
    </r>
    <r>
      <rPr>
        <sz val="11"/>
        <color theme="1"/>
        <rFont val="Calibri"/>
        <charset val="134"/>
        <scheme val="minor"/>
      </rPr>
      <t xml:space="preserve"> button in the top side.
5. Choose Invoice No : first Choose is Invoice PRF "INV-</t>
    </r>
    <r>
      <rPr>
        <b/>
        <sz val="11"/>
        <color theme="1"/>
        <rFont val="Calibri"/>
        <charset val="134"/>
        <scheme val="minor"/>
      </rPr>
      <t>PRF</t>
    </r>
    <r>
      <rPr>
        <sz val="11"/>
        <color theme="1"/>
        <rFont val="Calibri"/>
        <charset val="134"/>
        <scheme val="minor"/>
      </rPr>
      <t xml:space="preserve">-20260114-001"
6. Input ammount price: </t>
    </r>
    <r>
      <rPr>
        <b/>
        <sz val="11"/>
        <color theme="1"/>
        <rFont val="Calibri"/>
        <charset val="134"/>
        <scheme val="minor"/>
      </rPr>
      <t>only decimal numeric (dont use coma or point)</t>
    </r>
    <r>
      <rPr>
        <sz val="11"/>
        <color theme="1"/>
        <rFont val="Calibri"/>
        <charset val="134"/>
        <scheme val="minor"/>
      </rPr>
      <t xml:space="preserve">
7. Upload payment proof: </t>
    </r>
    <r>
      <rPr>
        <b/>
        <sz val="11"/>
        <color theme="1"/>
        <rFont val="Calibri"/>
        <charset val="134"/>
        <scheme val="minor"/>
      </rPr>
      <t xml:space="preserve">Photo resi Transfer
</t>
    </r>
    <r>
      <rPr>
        <sz val="11"/>
        <color theme="1"/>
        <rFont val="Calibri"/>
        <charset val="134"/>
        <scheme val="minor"/>
      </rPr>
      <t xml:space="preserve">8. Click </t>
    </r>
    <r>
      <rPr>
        <b/>
        <sz val="11"/>
        <color theme="1"/>
        <rFont val="Calibri"/>
        <charset val="134"/>
        <scheme val="minor"/>
      </rPr>
      <t xml:space="preserve">Submit </t>
    </r>
    <r>
      <rPr>
        <sz val="11"/>
        <color theme="1"/>
        <rFont val="Calibri"/>
        <charset val="134"/>
        <scheme val="minor"/>
      </rPr>
      <t xml:space="preserve">button.
9. Continue payment invoice LOLO (if any)
10. Re-Click </t>
    </r>
    <r>
      <rPr>
        <b/>
        <sz val="11"/>
        <color theme="1"/>
        <rFont val="Calibri"/>
        <charset val="134"/>
        <scheme val="minor"/>
      </rPr>
      <t xml:space="preserve">“Upload Payment” </t>
    </r>
    <r>
      <rPr>
        <sz val="11"/>
        <color theme="1"/>
        <rFont val="Calibri"/>
        <charset val="134"/>
        <scheme val="minor"/>
      </rPr>
      <t>button in the top side.
5. Choose Invoice No : Choose second Invoice PRF "INV-</t>
    </r>
    <r>
      <rPr>
        <b/>
        <sz val="11"/>
        <color theme="1"/>
        <rFont val="Calibri"/>
        <charset val="134"/>
        <scheme val="minor"/>
      </rPr>
      <t>COM</t>
    </r>
    <r>
      <rPr>
        <sz val="11"/>
        <color theme="1"/>
        <rFont val="Calibri"/>
        <charset val="134"/>
        <scheme val="minor"/>
      </rPr>
      <t xml:space="preserve">-20260114-001"
6. Input ammount price: </t>
    </r>
    <r>
      <rPr>
        <b/>
        <sz val="11"/>
        <color theme="1"/>
        <rFont val="Calibri"/>
        <charset val="134"/>
        <scheme val="minor"/>
      </rPr>
      <t>only decimal numeric (dont use coma or point)</t>
    </r>
    <r>
      <rPr>
        <sz val="11"/>
        <color theme="1"/>
        <rFont val="Calibri"/>
        <charset val="134"/>
        <scheme val="minor"/>
      </rPr>
      <t xml:space="preserve">
7. Upload payment proof: </t>
    </r>
    <r>
      <rPr>
        <b/>
        <sz val="11"/>
        <color theme="1"/>
        <rFont val="Calibri"/>
        <charset val="134"/>
        <scheme val="minor"/>
      </rPr>
      <t>Photo resi Transfer</t>
    </r>
    <r>
      <rPr>
        <sz val="11"/>
        <color theme="1"/>
        <rFont val="Calibri"/>
        <charset val="134"/>
        <scheme val="minor"/>
      </rPr>
      <t xml:space="preserve">
8. Click Submit button.</t>
    </r>
  </si>
  <si>
    <t xml:space="preserve">* Successfully Payment invoice and system update JH status to JH Waiting Confirm </t>
  </si>
  <si>
    <t>Create and Cancel data Job handling Forwarder by User Forwarder</t>
  </si>
  <si>
    <t>Actual Result</t>
  </si>
  <si>
    <r>
      <rPr>
        <sz val="11"/>
        <color theme="1"/>
        <rFont val="Calibri"/>
        <charset val="134"/>
        <scheme val="minor"/>
      </rPr>
      <t xml:space="preserve">1. Open Menu Job Handling.
2. Click </t>
    </r>
    <r>
      <rPr>
        <i/>
        <sz val="11"/>
        <color theme="1"/>
        <rFont val="Calibri"/>
        <charset val="134"/>
        <scheme val="minor"/>
      </rPr>
      <t xml:space="preserve">Create Job Handling </t>
    </r>
    <r>
      <rPr>
        <sz val="11"/>
        <color theme="1"/>
        <rFont val="Calibri"/>
        <charset val="134"/>
        <scheme val="minor"/>
      </rPr>
      <t>Button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Choose type Job: </t>
    </r>
    <r>
      <rPr>
        <b/>
        <sz val="11"/>
        <color theme="1"/>
        <rFont val="Calibri"/>
        <charset val="134"/>
        <scheme val="minor"/>
      </rPr>
      <t>(Choose Receiving)</t>
    </r>
    <r>
      <rPr>
        <sz val="11"/>
        <color theme="1"/>
        <rFont val="Calibri"/>
        <charset val="134"/>
        <scheme val="minor"/>
      </rPr>
      <t xml:space="preserve"> 
4. Choose Cargo Owner/Customer: </t>
    </r>
    <r>
      <rPr>
        <b/>
        <sz val="11"/>
        <color theme="1"/>
        <rFont val="Calibri"/>
        <charset val="134"/>
        <scheme val="minor"/>
      </rPr>
      <t>(PT Unilever Cheomical Indonesia)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5</t>
    </r>
    <r>
      <rPr>
        <sz val="11"/>
        <color theme="1"/>
        <rFont val="Calibri"/>
        <charset val="134"/>
        <scheme val="minor"/>
      </rPr>
      <t xml:space="preserve">. Choose Storage Type: </t>
    </r>
    <r>
      <rPr>
        <b/>
        <sz val="11"/>
        <color theme="1"/>
        <rFont val="Calibri"/>
        <charset val="134"/>
        <scheme val="minor"/>
      </rPr>
      <t xml:space="preserve">(CY)
</t>
    </r>
    <r>
      <rPr>
        <sz val="11"/>
        <color theme="1"/>
        <rFont val="Calibri"/>
        <charset val="134"/>
        <scheme val="minor"/>
      </rPr>
      <t xml:space="preserve">6. Choose Commodities: Sodium, Drupe HDPE, etc
7. Click Next
8. Click CheckBox: </t>
    </r>
    <r>
      <rPr>
        <b/>
        <sz val="11"/>
        <color theme="1"/>
        <rFont val="Calibri"/>
        <charset val="134"/>
        <scheme val="minor"/>
      </rPr>
      <t>Based Total Conatainer to Create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9. Input Plate Number Vehicle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10. Input Container Number: </t>
    </r>
    <r>
      <rPr>
        <b/>
        <sz val="11"/>
        <color theme="1"/>
        <rFont val="Calibri"/>
        <charset val="134"/>
        <scheme val="minor"/>
      </rPr>
      <t>Max 11 Character</t>
    </r>
    <r>
      <rPr>
        <sz val="11"/>
        <color theme="1"/>
        <rFont val="Calibri"/>
        <charset val="134"/>
        <scheme val="minor"/>
      </rPr>
      <t xml:space="preserve">
11. Input Shield Number: Max 10 Character</t>
    </r>
    <r>
      <rPr>
        <b/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12. Choose Container Catgory: </t>
    </r>
    <r>
      <rPr>
        <b/>
        <sz val="11"/>
        <color theme="1"/>
        <rFont val="Calibri"/>
        <charset val="134"/>
        <scheme val="minor"/>
      </rPr>
      <t xml:space="preserve">DRY/ISO TANK
</t>
    </r>
    <r>
      <rPr>
        <sz val="11"/>
        <color theme="1"/>
        <rFont val="Calibri"/>
        <charset val="134"/>
        <scheme val="minor"/>
      </rPr>
      <t xml:space="preserve">13. Choose Inbound Date
14. Choose Outbound Date
15. Set Toggle Lift ON: </t>
    </r>
    <r>
      <rPr>
        <b/>
        <sz val="11"/>
        <color theme="1"/>
        <rFont val="Calibri"/>
        <charset val="134"/>
        <scheme val="minor"/>
      </rPr>
      <t>(Based on Condition)</t>
    </r>
    <r>
      <rPr>
        <sz val="11"/>
        <color theme="1"/>
        <rFont val="Calibri"/>
        <charset val="134"/>
        <scheme val="minor"/>
      </rPr>
      <t xml:space="preserve">
16. Set Toggle Lift OFF: </t>
    </r>
    <r>
      <rPr>
        <b/>
        <sz val="11"/>
        <color theme="1"/>
        <rFont val="Calibri"/>
        <charset val="134"/>
        <scheme val="minor"/>
      </rPr>
      <t>(Based on Condition)</t>
    </r>
    <r>
      <rPr>
        <sz val="11"/>
        <color theme="1"/>
        <rFont val="Calibri"/>
        <charset val="134"/>
        <scheme val="minor"/>
      </rPr>
      <t xml:space="preserve">
17. Choose Size Container: 20ft Full, 40ft Full, etc
18. Click Next
19. Please check detail data before submit.
20. Click Submit for create Job Handling.</t>
    </r>
  </si>
  <si>
    <t>* Successfully Create Job Handling data and data displays on datatable list.</t>
  </si>
  <si>
    <t>KEK-030</t>
  </si>
  <si>
    <t>Maintain Master Data Forwarder</t>
  </si>
  <si>
    <t>Create, Edit and Delete Data Forwarder</t>
  </si>
  <si>
    <t>Master/Forwarder</t>
  </si>
  <si>
    <t>Create</t>
  </si>
  <si>
    <r>
      <rPr>
        <sz val="11"/>
        <color theme="1"/>
        <rFont val="Calibri"/>
        <charset val="134"/>
        <scheme val="minor"/>
      </rPr>
      <t xml:space="preserve">1. Open Menu Forwarder.
2. Click </t>
    </r>
    <r>
      <rPr>
        <i/>
        <sz val="11"/>
        <color theme="1"/>
        <rFont val="Calibri"/>
        <charset val="134"/>
        <scheme val="minor"/>
      </rPr>
      <t xml:space="preserve">Create Forwarder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Forwarder name.
</t>
    </r>
    <r>
      <rPr>
        <sz val="11"/>
        <color theme="1"/>
        <rFont val="Calibri"/>
        <charset val="134"/>
        <scheme val="minor"/>
      </rPr>
      <t>4. Input Contact Person.
5. Input email company.</t>
    </r>
    <r>
      <rPr>
        <b/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6. Input Phone number company.
7. Input Address Forwarder.
8. Input NPWP Company.
9. Input ID Number Company (NIB).
10. Upload NPWP document: </t>
    </r>
    <r>
      <rPr>
        <b/>
        <i/>
        <sz val="11"/>
        <color theme="1"/>
        <rFont val="Calibri"/>
        <charset val="134"/>
        <scheme val="minor"/>
      </rPr>
      <t>pdf/photo.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11. Upload NIB Document: </t>
    </r>
    <r>
      <rPr>
        <b/>
        <sz val="11"/>
        <color theme="1"/>
        <rFont val="Calibri"/>
        <charset val="134"/>
        <scheme val="minor"/>
      </rPr>
      <t>pdf/photo.</t>
    </r>
    <r>
      <rPr>
        <sz val="11"/>
        <color theme="1"/>
        <rFont val="Calibri"/>
        <charset val="134"/>
        <scheme val="minor"/>
      </rPr>
      <t xml:space="preserve">
12. Input Remarks.
13. Click Create button to save data.</t>
    </r>
  </si>
  <si>
    <t>* Successfully Create Forwarder data and data displays on datatable list.</t>
  </si>
  <si>
    <t>Edit</t>
  </si>
  <si>
    <r>
      <rPr>
        <sz val="11"/>
        <color theme="1"/>
        <rFont val="Calibri"/>
        <charset val="134"/>
        <scheme val="minor"/>
      </rPr>
      <t>1. Open Menu Forwarder.
2. Search data Forwarder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Forwarder.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</si>
  <si>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Forwarder data updated based on data changed.</t>
  </si>
  <si>
    <t>Delete</t>
  </si>
  <si>
    <r>
      <rPr>
        <sz val="11"/>
        <color theme="1"/>
        <rFont val="Calibri"/>
        <charset val="134"/>
        <scheme val="minor"/>
      </rPr>
      <t>1. Open Menu Forwarder
2. Search data Forwarder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Forwarder.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</si>
  <si>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Forwarder data success delete.</t>
  </si>
  <si>
    <t>Approval Forwarder</t>
  </si>
  <si>
    <t>KEK-040 A</t>
  </si>
  <si>
    <t>Maintain Master Data Customer</t>
  </si>
  <si>
    <t>Create, Edit and Delete Data Customer</t>
  </si>
  <si>
    <t>Master/Customer</t>
  </si>
  <si>
    <r>
      <rPr>
        <sz val="11"/>
        <color theme="1"/>
        <rFont val="Calibri"/>
        <charset val="134"/>
        <scheme val="minor"/>
      </rPr>
      <t xml:space="preserve">1. Open Menu Customer.
2. Click </t>
    </r>
    <r>
      <rPr>
        <i/>
        <sz val="11"/>
        <color theme="1"/>
        <rFont val="Calibri"/>
        <charset val="134"/>
        <scheme val="minor"/>
      </rPr>
      <t xml:space="preserve">Create Customer </t>
    </r>
    <r>
      <rPr>
        <sz val="11"/>
        <color theme="1"/>
        <rFont val="Calibri"/>
        <charset val="134"/>
        <scheme val="minor"/>
      </rPr>
      <t xml:space="preserve">Button.
3. Select </t>
    </r>
    <r>
      <rPr>
        <i/>
        <sz val="11"/>
        <color theme="1"/>
        <rFont val="Calibri"/>
        <charset val="134"/>
        <scheme val="minor"/>
      </rPr>
      <t xml:space="preserve">Forwarder name.
</t>
    </r>
    <r>
      <rPr>
        <sz val="11"/>
        <color theme="1"/>
        <rFont val="Calibri"/>
        <charset val="134"/>
        <scheme val="minor"/>
      </rPr>
      <t xml:space="preserve">4. Input Customer Name.
5.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.
8.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8. Input </t>
    </r>
    <r>
      <rPr>
        <i/>
        <sz val="11"/>
        <color theme="1"/>
        <rFont val="Calibri"/>
        <charset val="134"/>
        <scheme val="minor"/>
      </rPr>
      <t xml:space="preserve">Phone Number </t>
    </r>
    <r>
      <rPr>
        <sz val="11"/>
        <color theme="1"/>
        <rFont val="Calibri"/>
        <charset val="134"/>
        <scheme val="minor"/>
      </rPr>
      <t>Customer.
9. Input e</t>
    </r>
    <r>
      <rPr>
        <i/>
        <sz val="11"/>
        <color theme="1"/>
        <rFont val="Calibri"/>
        <charset val="134"/>
        <scheme val="minor"/>
      </rPr>
      <t xml:space="preserve">mail </t>
    </r>
    <r>
      <rPr>
        <sz val="11"/>
        <color theme="1"/>
        <rFont val="Calibri"/>
        <charset val="134"/>
        <scheme val="minor"/>
      </rPr>
      <t>Customer.
13. Click Create button to save data.</t>
    </r>
  </si>
  <si>
    <t>* Successfully Create Customer data and data displays on datatable list.</t>
  </si>
  <si>
    <r>
      <rPr>
        <sz val="11"/>
        <color theme="1"/>
        <rFont val="Calibri"/>
        <charset val="134"/>
        <scheme val="minor"/>
      </rPr>
      <t>1. Open Menu Customer.
2. Search data Customer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Customer.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</si>
  <si>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Customer data updated based on data changed.</t>
  </si>
  <si>
    <r>
      <rPr>
        <sz val="11"/>
        <color theme="1"/>
        <rFont val="Calibri"/>
        <charset val="134"/>
        <scheme val="minor"/>
      </rPr>
      <t>1. Open Menu Customer.
2. Search data Customer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Customer.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</si>
  <si>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User data success delete.</t>
  </si>
  <si>
    <t>KEK-040 B</t>
  </si>
  <si>
    <t>Maintain Master Data Customer by Forwarder</t>
  </si>
  <si>
    <t>Create, Edit and Delete Data Customer by Forwarder</t>
  </si>
  <si>
    <t>Admin Forwarder</t>
  </si>
  <si>
    <r>
      <rPr>
        <sz val="11"/>
        <color theme="1"/>
        <rFont val="Calibri"/>
        <charset val="134"/>
        <scheme val="minor"/>
      </rPr>
      <t xml:space="preserve">1. Open Menu Customer.
2. Click </t>
    </r>
    <r>
      <rPr>
        <i/>
        <sz val="11"/>
        <color theme="1"/>
        <rFont val="Calibri"/>
        <charset val="134"/>
        <scheme val="minor"/>
      </rPr>
      <t xml:space="preserve">Create Customer </t>
    </r>
    <r>
      <rPr>
        <sz val="11"/>
        <color theme="1"/>
        <rFont val="Calibri"/>
        <charset val="134"/>
        <scheme val="minor"/>
      </rPr>
      <t xml:space="preserve">Button.
3. Input Customer Name.
4.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.
5.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6. Input </t>
    </r>
    <r>
      <rPr>
        <i/>
        <sz val="11"/>
        <color theme="1"/>
        <rFont val="Calibri"/>
        <charset val="134"/>
        <scheme val="minor"/>
      </rPr>
      <t xml:space="preserve">Phone Number </t>
    </r>
    <r>
      <rPr>
        <sz val="11"/>
        <color theme="1"/>
        <rFont val="Calibri"/>
        <charset val="134"/>
        <scheme val="minor"/>
      </rPr>
      <t>Customer.
7. Input e</t>
    </r>
    <r>
      <rPr>
        <i/>
        <sz val="11"/>
        <color theme="1"/>
        <rFont val="Calibri"/>
        <charset val="134"/>
        <scheme val="minor"/>
      </rPr>
      <t xml:space="preserve">mail </t>
    </r>
    <r>
      <rPr>
        <sz val="11"/>
        <color theme="1"/>
        <rFont val="Calibri"/>
        <charset val="134"/>
        <scheme val="minor"/>
      </rPr>
      <t>Customer.
8. Click Create button to save data.</t>
    </r>
  </si>
  <si>
    <t>KEK-050</t>
  </si>
  <si>
    <t>Maintain Master Data Tax</t>
  </si>
  <si>
    <t>Create and Approval Data Master Tax</t>
  </si>
  <si>
    <t>Master/Tax</t>
  </si>
  <si>
    <r>
      <rPr>
        <sz val="11"/>
        <color theme="1"/>
        <rFont val="Calibri"/>
        <charset val="134"/>
        <scheme val="minor"/>
      </rPr>
      <t xml:space="preserve">1. Open Menu Tax
2. Click </t>
    </r>
    <r>
      <rPr>
        <i/>
        <sz val="11"/>
        <color theme="1"/>
        <rFont val="Calibri"/>
        <charset val="134"/>
        <scheme val="minor"/>
      </rPr>
      <t xml:space="preserve">Create Tax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Year.
</t>
    </r>
    <r>
      <rPr>
        <sz val="11"/>
        <color theme="1"/>
        <rFont val="Calibri"/>
        <charset val="134"/>
        <scheme val="minor"/>
      </rPr>
      <t xml:space="preserve">4. Choose </t>
    </r>
    <r>
      <rPr>
        <i/>
        <sz val="11"/>
        <color theme="1"/>
        <rFont val="Calibri"/>
        <charset val="134"/>
        <scheme val="minor"/>
      </rPr>
      <t>Valid date</t>
    </r>
    <r>
      <rPr>
        <sz val="11"/>
        <color theme="1"/>
        <rFont val="Calibri"/>
        <charset val="134"/>
        <scheme val="minor"/>
      </rPr>
      <t xml:space="preserve"> from.
5. Choose </t>
    </r>
    <r>
      <rPr>
        <i/>
        <sz val="11"/>
        <color theme="1"/>
        <rFont val="Calibri"/>
        <charset val="134"/>
        <scheme val="minor"/>
      </rPr>
      <t>Valid</t>
    </r>
    <r>
      <rPr>
        <sz val="11"/>
        <color theme="1"/>
        <rFont val="Calibri"/>
        <charset val="134"/>
        <scheme val="minor"/>
      </rPr>
      <t xml:space="preserve"> </t>
    </r>
    <r>
      <rPr>
        <i/>
        <sz val="11"/>
        <color theme="1"/>
        <rFont val="Calibri"/>
        <charset val="134"/>
        <scheme val="minor"/>
      </rPr>
      <t>date</t>
    </r>
    <r>
      <rPr>
        <sz val="11"/>
        <color theme="1"/>
        <rFont val="Calibri"/>
        <charset val="134"/>
        <scheme val="minor"/>
      </rPr>
      <t xml:space="preserve"> to </t>
    </r>
    <r>
      <rPr>
        <b/>
        <i/>
        <sz val="11"/>
        <color theme="1"/>
        <rFont val="Calibri"/>
        <charset val="134"/>
        <scheme val="minor"/>
      </rPr>
      <t>(optional)</t>
    </r>
    <r>
      <rPr>
        <sz val="11"/>
        <color theme="1"/>
        <rFont val="Calibri"/>
        <charset val="134"/>
        <scheme val="minor"/>
      </rPr>
      <t xml:space="preserve">
8.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8. Select Tax </t>
    </r>
    <r>
      <rPr>
        <i/>
        <sz val="11"/>
        <color theme="1"/>
        <rFont val="Calibri"/>
        <charset val="134"/>
        <scheme val="minor"/>
      </rPr>
      <t>Category.</t>
    </r>
    <r>
      <rPr>
        <sz val="11"/>
        <color theme="1"/>
        <rFont val="Calibri"/>
        <charset val="134"/>
        <scheme val="minor"/>
      </rPr>
      <t xml:space="preserve">
9. Select Tax T</t>
    </r>
    <r>
      <rPr>
        <i/>
        <sz val="11"/>
        <color theme="1"/>
        <rFont val="Calibri"/>
        <charset val="134"/>
        <scheme val="minor"/>
      </rPr>
      <t>ype.</t>
    </r>
    <r>
      <rPr>
        <sz val="11"/>
        <color theme="1"/>
        <rFont val="Calibri"/>
        <charset val="134"/>
        <scheme val="minor"/>
      </rPr>
      <t xml:space="preserve">
10. Choose Tax Calculation.
11. Input Tax Rate.
12. Click </t>
    </r>
    <r>
      <rPr>
        <i/>
        <sz val="11"/>
        <color theme="1"/>
        <rFont val="Calibri"/>
        <charset val="134"/>
        <scheme val="minor"/>
      </rPr>
      <t>Add Button</t>
    </r>
    <r>
      <rPr>
        <sz val="11"/>
        <color theme="1"/>
        <rFont val="Calibri"/>
        <charset val="134"/>
        <scheme val="minor"/>
      </rPr>
      <t xml:space="preserve"> to Create Tax.
13. Continue create with others Tax Category.</t>
    </r>
  </si>
  <si>
    <t>* Successfully Create Tax data and data displays on datatable list.</t>
  </si>
  <si>
    <t>Approval Tax</t>
  </si>
  <si>
    <t>* Tax data approved and Status Tax is Active.</t>
  </si>
  <si>
    <t>KEK-060</t>
  </si>
  <si>
    <t>Maintain Master Data Tax Mapping</t>
  </si>
  <si>
    <t>How to Setup Data Master Tax Mapping</t>
  </si>
  <si>
    <t>Master/Tax Mapping</t>
  </si>
  <si>
    <r>
      <rPr>
        <sz val="11"/>
        <color theme="1"/>
        <rFont val="Calibri"/>
        <charset val="134"/>
        <scheme val="minor"/>
      </rPr>
      <t xml:space="preserve">1. Open Menu Tax Mapping
2. Click </t>
    </r>
    <r>
      <rPr>
        <i/>
        <sz val="11"/>
        <color theme="1"/>
        <rFont val="Calibri"/>
        <charset val="134"/>
        <scheme val="minor"/>
      </rPr>
      <t>List of Services in Tax Mapping</t>
    </r>
    <r>
      <rPr>
        <sz val="11"/>
        <color theme="1"/>
        <rFont val="Calibri"/>
        <charset val="134"/>
        <scheme val="minor"/>
      </rPr>
      <t>.
3. Check list Tax to be set on services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Continue Check list tax to be set on others services
5. Click </t>
    </r>
    <r>
      <rPr>
        <i/>
        <sz val="11"/>
        <color theme="1"/>
        <rFont val="Calibri"/>
        <charset val="134"/>
        <scheme val="minor"/>
      </rPr>
      <t>Create Button</t>
    </r>
    <r>
      <rPr>
        <sz val="11"/>
        <color theme="1"/>
        <rFont val="Calibri"/>
        <charset val="134"/>
        <scheme val="minor"/>
      </rPr>
      <t xml:space="preserve"> to save Tax Mapping.</t>
    </r>
  </si>
  <si>
    <t>* Successfully Create Tax Mapping data and data displays on datatable list.</t>
  </si>
  <si>
    <t>KEK-070</t>
  </si>
  <si>
    <t>Maintain Master Data Permission</t>
  </si>
  <si>
    <t>Create, Edit and Delete Data Permission</t>
  </si>
  <si>
    <t>Master/Permission</t>
  </si>
  <si>
    <r>
      <rPr>
        <sz val="11"/>
        <color theme="1"/>
        <rFont val="Calibri"/>
        <charset val="134"/>
        <scheme val="minor"/>
      </rPr>
      <t xml:space="preserve">1. Open Menu Permission
2. Click </t>
    </r>
    <r>
      <rPr>
        <i/>
        <sz val="11"/>
        <color theme="1"/>
        <rFont val="Calibri"/>
        <charset val="134"/>
        <scheme val="minor"/>
      </rPr>
      <t xml:space="preserve">Create Permission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Business Code: </t>
    </r>
    <r>
      <rPr>
        <b/>
        <sz val="11"/>
        <color theme="1"/>
        <rFont val="Calibri"/>
        <charset val="134"/>
        <scheme val="minor"/>
      </rPr>
      <t>3 Digit Alphabet capital.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4.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
5. Click Create button to save data.</t>
    </r>
  </si>
  <si>
    <t>* Successfully Create Permission data and data displays on datatable list.</t>
  </si>
  <si>
    <r>
      <rPr>
        <sz val="11"/>
        <color theme="1"/>
        <rFont val="Calibri"/>
        <charset val="134"/>
        <scheme val="minor"/>
      </rPr>
      <t>1. Open Menu Permission
2. Search data Permission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Permission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</si>
  <si>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Permission data updated based on data changed.</t>
  </si>
  <si>
    <r>
      <rPr>
        <sz val="11"/>
        <color theme="1"/>
        <rFont val="Calibri"/>
        <charset val="134"/>
        <scheme val="minor"/>
      </rPr>
      <t>1. Open Menu Permission
2. Search data Permission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Forwarder.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</si>
  <si>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Permission data success delete.</t>
  </si>
  <si>
    <t>Setting Access Role Menu on Permission</t>
  </si>
  <si>
    <r>
      <rPr>
        <sz val="11"/>
        <color theme="1"/>
        <rFont val="Calibri"/>
        <charset val="134"/>
        <scheme val="minor"/>
      </rPr>
      <t>1. Open Menu Permission
2. Search data Permission to be set Access Role.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3. Click Permission (</t>
    </r>
    <r>
      <rPr>
        <sz val="11"/>
        <color theme="1"/>
        <rFont val="Calibri"/>
        <charset val="134"/>
      </rPr>
      <t>⌂)</t>
    </r>
    <r>
      <rPr>
        <sz val="11"/>
        <color theme="1"/>
        <rFont val="Calibri"/>
        <charset val="134"/>
        <scheme val="minor"/>
      </rPr>
      <t xml:space="preserve">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Check List Menu to be set on this permission.
5. Click the </t>
    </r>
    <r>
      <rPr>
        <i/>
        <sz val="11"/>
        <color theme="1"/>
        <rFont val="Calibri"/>
        <charset val="134"/>
        <scheme val="minor"/>
      </rPr>
      <t xml:space="preserve">Submit </t>
    </r>
    <r>
      <rPr>
        <sz val="11"/>
        <color theme="1"/>
        <rFont val="Calibri"/>
        <charset val="134"/>
        <scheme val="minor"/>
      </rPr>
      <t>button to save data.</t>
    </r>
  </si>
  <si>
    <t>* Setting Access Role success Created.</t>
  </si>
  <si>
    <t>KEK-080</t>
  </si>
  <si>
    <t>Maintain Master Data Rate Services</t>
  </si>
  <si>
    <t>Create, Edit and Delete Data Rate Services</t>
  </si>
  <si>
    <t>Master/Rate Services</t>
  </si>
  <si>
    <r>
      <rPr>
        <sz val="11"/>
        <color theme="1"/>
        <rFont val="Calibri"/>
        <charset val="134"/>
        <scheme val="minor"/>
      </rPr>
      <t xml:space="preserve">1. Open Menu Rate Service
2. Click </t>
    </r>
    <r>
      <rPr>
        <i/>
        <sz val="11"/>
        <color theme="1"/>
        <rFont val="Calibri"/>
        <charset val="134"/>
        <scheme val="minor"/>
      </rPr>
      <t xml:space="preserve">Create Rate Service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>Valid Year</t>
    </r>
    <r>
      <rPr>
        <b/>
        <sz val="11"/>
        <color theme="1"/>
        <rFont val="Calibri"/>
        <charset val="134"/>
        <scheme val="minor"/>
      </rPr>
      <t>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4. Choose </t>
    </r>
    <r>
      <rPr>
        <i/>
        <sz val="11"/>
        <color theme="1"/>
        <rFont val="Calibri"/>
        <charset val="134"/>
        <scheme val="minor"/>
      </rPr>
      <t>Valid Date from</t>
    </r>
    <r>
      <rPr>
        <sz val="11"/>
        <color theme="1"/>
        <rFont val="Calibri"/>
        <charset val="134"/>
        <scheme val="minor"/>
      </rPr>
      <t xml:space="preserve">.
5. Choose Valid Date </t>
    </r>
    <r>
      <rPr>
        <i/>
        <sz val="11"/>
        <color theme="1"/>
        <rFont val="Calibri"/>
        <charset val="134"/>
        <scheme val="minor"/>
      </rPr>
      <t xml:space="preserve">to.
6. Input Price </t>
    </r>
    <r>
      <rPr>
        <sz val="11"/>
        <color theme="1"/>
        <rFont val="Calibri"/>
        <charset val="134"/>
        <scheme val="minor"/>
      </rPr>
      <t>Each item in the Tariff Details list
6. Click Create button to save data.</t>
    </r>
  </si>
  <si>
    <t>* Successfully Create Rate Services data and data displays on datatable list.</t>
  </si>
  <si>
    <t>Approval Rate Service</t>
  </si>
  <si>
    <t>* Rate Services data approved.</t>
  </si>
  <si>
    <t>KEK-090</t>
  </si>
  <si>
    <t>Maintain Master Data Approval Setting</t>
  </si>
  <si>
    <t>Data Approval Setting For Tax, Rate Service &amp; Forwarder Registration.</t>
  </si>
  <si>
    <t>Master/Approval Setting</t>
  </si>
  <si>
    <t>Setting Tax Approval</t>
  </si>
  <si>
    <r>
      <rPr>
        <sz val="11"/>
        <color theme="1"/>
        <rFont val="Calibri"/>
        <charset val="134"/>
        <scheme val="minor"/>
      </rPr>
      <t>1. Open Menu Approval Setting
2. Search Approval to be setting.
3. Click detail (i) icon on the right side.
4. Click add untuk menambahkan user based on role approve Finance/Manager/Direksi</t>
    </r>
    <r>
      <rPr>
        <i/>
        <sz val="11"/>
        <color theme="1"/>
        <rFont val="Calibri"/>
        <charset val="134"/>
        <scheme val="minor"/>
      </rPr>
      <t xml:space="preserve">
5</t>
    </r>
    <r>
      <rPr>
        <sz val="11"/>
        <color theme="1"/>
        <rFont val="Calibri"/>
        <charset val="134"/>
        <scheme val="minor"/>
      </rPr>
      <t xml:space="preserve">. Click </t>
    </r>
    <r>
      <rPr>
        <i/>
        <sz val="11"/>
        <color theme="1"/>
        <rFont val="Calibri"/>
        <charset val="134"/>
        <scheme val="minor"/>
      </rPr>
      <t>Trash</t>
    </r>
    <r>
      <rPr>
        <sz val="11"/>
        <color theme="1"/>
        <rFont val="Calibri"/>
        <charset val="134"/>
        <scheme val="minor"/>
      </rPr>
      <t xml:space="preserve"> icon for deleting User.</t>
    </r>
  </si>
  <si>
    <t>* Successfully Create Tax approval.</t>
  </si>
  <si>
    <t>Setting Rate Service Approval</t>
  </si>
  <si>
    <t>* Successfully Create  Rate Service Approval.</t>
  </si>
  <si>
    <t>Setting Forwarder Registration Approval</t>
  </si>
  <si>
    <t>* Successfully Create  Forwarder Registration Approval.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</si>
</sst>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0" borderId="0"/>
  </cellStyleXfs>
  <cellXfs count="51">
    <xf numFmtId="0" fontId="0" fillId="0" borderId="0" xfId="0"/>
    <xf numFmtId="0" fontId="1" fillId="0" borderId="0" xfId="49"/>
    <xf numFmtId="0" fontId="2" fillId="2" borderId="0" xfId="0" applyFont="1" applyFill="1" applyAlignment="1">
      <alignment horizontal="left"/>
    </xf>
    <xf numFmtId="0" fontId="0" fillId="0" borderId="1" xfId="0" applyFont="1" applyBorder="1" applyAlignment="1"/>
    <xf numFmtId="0" fontId="0" fillId="0" borderId="1" xfId="0" applyBorder="1" applyAlignment="1"/>
    <xf numFmtId="0" fontId="3" fillId="0" borderId="2" xfId="0" applyFont="1" applyBorder="1" applyAlignment="1"/>
    <xf numFmtId="0" fontId="3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49" applyBorder="1"/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3" xfId="0" applyFont="1" applyBorder="1" applyAlignment="1"/>
    <xf numFmtId="0" fontId="0" fillId="0" borderId="3" xfId="0" applyBorder="1" applyAlignment="1"/>
    <xf numFmtId="0" fontId="3" fillId="0" borderId="3" xfId="0" applyFont="1" applyBorder="1" applyAlignment="1"/>
    <xf numFmtId="0" fontId="5" fillId="0" borderId="3" xfId="0" applyFont="1" applyBorder="1" applyAlignment="1"/>
    <xf numFmtId="0" fontId="0" fillId="0" borderId="4" xfId="0" applyBorder="1" applyAlignment="1"/>
    <xf numFmtId="0" fontId="3" fillId="0" borderId="4" xfId="0" applyFont="1" applyBorder="1" applyAlignment="1">
      <alignment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2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7" fillId="0" borderId="1" xfId="6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7" fillId="0" borderId="9" xfId="6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7" fillId="0" borderId="1" xfId="6" applyFont="1" applyBorder="1" applyAlignment="1">
      <alignment vertical="top" wrapText="1"/>
    </xf>
    <xf numFmtId="49" fontId="0" fillId="4" borderId="0" xfId="0" applyNumberFormat="1" applyFill="1" applyAlignment="1">
      <alignment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18"/>
  <sheetViews>
    <sheetView workbookViewId="0">
      <pane xSplit="5" ySplit="7" topLeftCell="F8" activePane="bottomRight" state="frozen"/>
      <selection/>
      <selection pane="topRight"/>
      <selection pane="bottomLeft"/>
      <selection pane="bottomRight" activeCell="C25" sqref="C25"/>
    </sheetView>
  </sheetViews>
  <sheetFormatPr defaultColWidth="8.53097345132743" defaultRowHeight="14.25"/>
  <cols>
    <col min="1" max="1" width="8.53097345132743" style="29" customWidth="1"/>
    <col min="2" max="2" width="14.3362831858407" style="29" customWidth="1"/>
    <col min="3" max="3" width="40.6017699115044" style="29" customWidth="1"/>
    <col min="4" max="4" width="21.7345132743363" style="29" customWidth="1"/>
    <col min="5" max="5" width="9.53097345132743" style="29" customWidth="1"/>
    <col min="6" max="6" width="10.1327433628319" style="29" customWidth="1"/>
    <col min="7" max="7" width="10" style="29" customWidth="1"/>
    <col min="8" max="8" width="9.13274336283186" style="29" customWidth="1"/>
    <col min="9" max="28" width="2.53097345132743" style="30" customWidth="1"/>
    <col min="29" max="41" width="2.53097345132743" style="29" customWidth="1"/>
    <col min="42" max="16384" width="8.53097345132743" style="29"/>
  </cols>
  <sheetData>
    <row r="1" spans="1:7">
      <c r="A1" s="31" t="s">
        <v>0</v>
      </c>
      <c r="B1" s="31"/>
      <c r="C1" s="32" t="s">
        <v>1</v>
      </c>
      <c r="D1" s="33"/>
      <c r="E1" s="33"/>
      <c r="F1" s="33"/>
      <c r="G1" s="33"/>
    </row>
    <row r="2" spans="1:7">
      <c r="A2" s="31" t="s">
        <v>2</v>
      </c>
      <c r="B2" s="31"/>
      <c r="C2" s="32" t="s">
        <v>3</v>
      </c>
      <c r="D2" s="33"/>
      <c r="E2" s="33"/>
      <c r="F2" s="33"/>
      <c r="G2" s="33"/>
    </row>
    <row r="3" spans="1:7">
      <c r="A3" s="31" t="s">
        <v>4</v>
      </c>
      <c r="B3" s="31"/>
      <c r="C3" s="32" t="s">
        <v>5</v>
      </c>
      <c r="D3" s="33"/>
      <c r="E3" s="33"/>
      <c r="F3" s="33"/>
      <c r="G3" s="33"/>
    </row>
    <row r="4" ht="17.25" customHeight="1" spans="1:7">
      <c r="A4" s="31" t="s">
        <v>6</v>
      </c>
      <c r="B4" s="31"/>
      <c r="C4" s="32" t="s">
        <v>7</v>
      </c>
      <c r="D4" s="33"/>
      <c r="E4" s="33"/>
      <c r="F4" s="33"/>
      <c r="G4" s="33"/>
    </row>
    <row r="5" ht="77" customHeight="1" spans="1:7">
      <c r="A5" s="31" t="s">
        <v>8</v>
      </c>
      <c r="B5" s="31"/>
      <c r="C5" s="34" t="s">
        <v>9</v>
      </c>
      <c r="D5" s="35"/>
      <c r="E5" s="35"/>
      <c r="F5" s="35"/>
      <c r="G5" s="35"/>
    </row>
    <row r="6" s="28" customFormat="1" spans="1:28">
      <c r="A6" s="36" t="s">
        <v>10</v>
      </c>
      <c r="B6" s="36"/>
      <c r="C6" s="36"/>
      <c r="D6" s="36"/>
      <c r="E6" s="36"/>
      <c r="F6" s="37">
        <f t="shared" ref="F6:H6" si="0">SUM(F8:F16)</f>
        <v>0</v>
      </c>
      <c r="G6" s="37">
        <f t="shared" si="0"/>
        <v>0</v>
      </c>
      <c r="H6" s="37">
        <f t="shared" si="0"/>
        <v>0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28.5" spans="1:8">
      <c r="A7" s="38" t="s">
        <v>11</v>
      </c>
      <c r="B7" s="39" t="s">
        <v>0</v>
      </c>
      <c r="C7" s="39" t="s">
        <v>12</v>
      </c>
      <c r="D7" s="39" t="s">
        <v>13</v>
      </c>
      <c r="E7" s="39" t="s">
        <v>14</v>
      </c>
      <c r="F7" s="40" t="s">
        <v>15</v>
      </c>
      <c r="G7" s="40" t="s">
        <v>16</v>
      </c>
      <c r="H7" s="40" t="s">
        <v>17</v>
      </c>
    </row>
    <row r="8" spans="1:8">
      <c r="A8" s="11">
        <v>1</v>
      </c>
      <c r="B8" s="41" t="s">
        <v>18</v>
      </c>
      <c r="C8" s="42" t="s">
        <v>19</v>
      </c>
      <c r="D8" s="42" t="s">
        <v>20</v>
      </c>
      <c r="E8" s="13" t="s">
        <v>21</v>
      </c>
      <c r="F8" s="43"/>
      <c r="G8" s="43"/>
      <c r="H8" s="43"/>
    </row>
    <row r="9" spans="1:8">
      <c r="A9" s="11">
        <v>2</v>
      </c>
      <c r="B9" s="41" t="s">
        <v>22</v>
      </c>
      <c r="C9" s="42" t="s">
        <v>23</v>
      </c>
      <c r="D9" s="42" t="s">
        <v>20</v>
      </c>
      <c r="E9" s="12" t="s">
        <v>24</v>
      </c>
      <c r="F9" s="43"/>
      <c r="G9" s="43"/>
      <c r="H9" s="43"/>
    </row>
    <row r="10" spans="1:8">
      <c r="A10" s="11">
        <v>3</v>
      </c>
      <c r="B10" s="41"/>
      <c r="C10" s="42"/>
      <c r="D10" s="42"/>
      <c r="E10" s="12"/>
      <c r="F10" s="43"/>
      <c r="G10" s="43"/>
      <c r="H10" s="43"/>
    </row>
    <row r="11" spans="1:8">
      <c r="A11" s="11">
        <v>4</v>
      </c>
      <c r="B11" s="41"/>
      <c r="C11" s="42"/>
      <c r="D11" s="42"/>
      <c r="E11" s="12"/>
      <c r="F11" s="43"/>
      <c r="G11" s="43"/>
      <c r="H11" s="43"/>
    </row>
    <row r="12" spans="1:8">
      <c r="A12" s="44">
        <v>5</v>
      </c>
      <c r="B12" s="45"/>
      <c r="C12" s="46"/>
      <c r="D12" s="46"/>
      <c r="E12" s="47"/>
      <c r="F12" s="48"/>
      <c r="G12" s="48"/>
      <c r="H12" s="48"/>
    </row>
    <row r="13" spans="1:8">
      <c r="A13" s="11">
        <v>5</v>
      </c>
      <c r="B13" s="49"/>
      <c r="C13" s="42"/>
      <c r="D13" s="42"/>
      <c r="E13" s="12"/>
      <c r="F13" s="13"/>
      <c r="G13" s="13"/>
      <c r="H13" s="13"/>
    </row>
    <row r="14" spans="1:8">
      <c r="A14" s="11">
        <v>6</v>
      </c>
      <c r="B14" s="41"/>
      <c r="C14" s="42"/>
      <c r="D14" s="42"/>
      <c r="E14" s="12"/>
      <c r="F14" s="13"/>
      <c r="G14" s="13"/>
      <c r="H14" s="13"/>
    </row>
    <row r="15" spans="1:8">
      <c r="A15" s="11">
        <v>7</v>
      </c>
      <c r="B15" s="41"/>
      <c r="C15" s="42"/>
      <c r="D15" s="42"/>
      <c r="E15" s="12"/>
      <c r="F15" s="13"/>
      <c r="G15" s="13"/>
      <c r="H15" s="13"/>
    </row>
    <row r="16" spans="1:8">
      <c r="A16" s="11">
        <v>8</v>
      </c>
      <c r="B16" s="41"/>
      <c r="C16" s="42"/>
      <c r="D16" s="42"/>
      <c r="E16" s="13"/>
      <c r="F16" s="13"/>
      <c r="G16" s="13"/>
      <c r="H16" s="13"/>
    </row>
    <row r="17" spans="1:8">
      <c r="A17" s="11">
        <v>9</v>
      </c>
      <c r="B17" s="41"/>
      <c r="C17" s="42"/>
      <c r="D17" s="42"/>
      <c r="E17" s="12"/>
      <c r="F17" s="13"/>
      <c r="G17" s="13"/>
      <c r="H17" s="13"/>
    </row>
    <row r="18" spans="1:8">
      <c r="A18" s="11">
        <v>10</v>
      </c>
      <c r="B18" s="41"/>
      <c r="C18" s="42"/>
      <c r="D18" s="42"/>
      <c r="E18" s="13"/>
      <c r="F18" s="13"/>
      <c r="G18" s="13"/>
      <c r="H18" s="13"/>
    </row>
  </sheetData>
  <mergeCells count="9">
    <mergeCell ref="A1:B1"/>
    <mergeCell ref="C1:G1"/>
    <mergeCell ref="A3:B3"/>
    <mergeCell ref="C3:G3"/>
    <mergeCell ref="A4:B4"/>
    <mergeCell ref="C4:G4"/>
    <mergeCell ref="A5:B5"/>
    <mergeCell ref="C5:G5"/>
    <mergeCell ref="A6:E6"/>
  </mergeCells>
  <dataValidations count="1">
    <dataValidation type="list" allowBlank="1" showInputMessage="1" showErrorMessage="1" sqref="D19:D1048576">
      <formula1>"FICO, PP, MMWM, SD"</formula1>
    </dataValidation>
  </dataValidations>
  <hyperlinks>
    <hyperlink ref="B8" location="'KEK-011-A'!A1" display="KEK-011-A"/>
    <hyperlink ref="B9" location="'KEK-011-B'!A1" display="KEK-011-B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0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D7" sqref="D7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5" width="10.2654867256637" style="1" customWidth="1"/>
    <col min="6" max="6" width="51.6637168141593" style="1" customWidth="1"/>
    <col min="7" max="7" width="28.6017699115044" style="1" customWidth="1"/>
    <col min="8" max="8" width="17.2654867256637" style="1" customWidth="1"/>
    <col min="9" max="9" width="7.79646017699115" style="1" customWidth="1"/>
    <col min="10" max="10" width="32.6017699115044" style="1" customWidth="1"/>
    <col min="11" max="11" width="24.6637168141593" style="1" customWidth="1"/>
    <col min="12" max="16384" width="8.53097345132743" style="1"/>
  </cols>
  <sheetData>
    <row r="1" ht="14.25" spans="1:10">
      <c r="A1" s="20" t="s">
        <v>25</v>
      </c>
      <c r="B1" s="21"/>
      <c r="C1" s="22" t="s">
        <v>18</v>
      </c>
      <c r="D1" s="23"/>
      <c r="E1" s="23"/>
      <c r="F1" s="23"/>
      <c r="G1" s="23"/>
      <c r="H1" s="23"/>
      <c r="I1" s="23"/>
      <c r="J1" s="26"/>
    </row>
    <row r="2" ht="14.25" spans="1:10">
      <c r="A2" s="20" t="s">
        <v>4</v>
      </c>
      <c r="B2" s="21"/>
      <c r="C2" s="24" t="s">
        <v>26</v>
      </c>
      <c r="D2" s="6"/>
      <c r="E2" s="6"/>
      <c r="F2" s="6"/>
      <c r="G2" s="6"/>
      <c r="H2" s="6"/>
      <c r="I2" s="6"/>
      <c r="J2" s="27"/>
    </row>
    <row r="3" ht="14.25" spans="1:10">
      <c r="A3" s="20" t="s">
        <v>27</v>
      </c>
      <c r="B3" s="21"/>
      <c r="C3" s="25" t="s">
        <v>28</v>
      </c>
      <c r="D3" s="23"/>
      <c r="E3" s="23"/>
      <c r="F3" s="23"/>
      <c r="G3" s="23"/>
      <c r="H3" s="23"/>
      <c r="I3" s="23"/>
      <c r="J3" s="26"/>
    </row>
    <row r="4" ht="14.25" spans="1:10">
      <c r="A4" s="20" t="s">
        <v>29</v>
      </c>
      <c r="B4" s="21"/>
      <c r="C4" s="23" t="s">
        <v>30</v>
      </c>
      <c r="D4" s="23"/>
      <c r="E4" s="23"/>
      <c r="F4" s="23"/>
      <c r="G4" s="23"/>
      <c r="H4" s="23"/>
      <c r="I4" s="23"/>
      <c r="J4" s="26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38</v>
      </c>
      <c r="I6" s="8" t="s">
        <v>39</v>
      </c>
      <c r="J6" s="9" t="s">
        <v>40</v>
      </c>
    </row>
    <row r="7" ht="313.5" spans="1:10">
      <c r="A7" s="11">
        <v>1</v>
      </c>
      <c r="B7" s="12" t="s">
        <v>41</v>
      </c>
      <c r="C7" s="18" t="s">
        <v>30</v>
      </c>
      <c r="D7" s="18" t="s">
        <v>20</v>
      </c>
      <c r="E7" s="18" t="s">
        <v>42</v>
      </c>
      <c r="F7" s="18" t="s">
        <v>43</v>
      </c>
      <c r="G7" s="18" t="s">
        <v>44</v>
      </c>
      <c r="H7" s="13"/>
      <c r="I7" s="13"/>
      <c r="J7" s="14"/>
    </row>
    <row r="8" ht="85.5" spans="1:10">
      <c r="A8" s="11">
        <v>2</v>
      </c>
      <c r="B8" s="12" t="s">
        <v>41</v>
      </c>
      <c r="C8" s="18" t="s">
        <v>30</v>
      </c>
      <c r="D8" s="18" t="s">
        <v>20</v>
      </c>
      <c r="E8" s="18" t="s">
        <v>45</v>
      </c>
      <c r="F8" s="18" t="s">
        <v>46</v>
      </c>
      <c r="G8" s="18" t="s">
        <v>44</v>
      </c>
      <c r="H8" s="13"/>
      <c r="I8" s="13"/>
      <c r="J8" s="14"/>
    </row>
    <row r="9" ht="85.5" spans="1:10">
      <c r="A9" s="11">
        <v>3</v>
      </c>
      <c r="B9" s="12" t="s">
        <v>41</v>
      </c>
      <c r="C9" s="18" t="s">
        <v>30</v>
      </c>
      <c r="D9" s="18" t="s">
        <v>20</v>
      </c>
      <c r="E9" s="18" t="s">
        <v>47</v>
      </c>
      <c r="F9" s="18" t="s">
        <v>48</v>
      </c>
      <c r="G9" s="18" t="s">
        <v>49</v>
      </c>
      <c r="H9" s="13"/>
      <c r="I9" s="13"/>
      <c r="J9" s="14"/>
    </row>
    <row r="10" ht="256.5" spans="1:10">
      <c r="A10" s="11">
        <v>4</v>
      </c>
      <c r="B10" s="12" t="s">
        <v>41</v>
      </c>
      <c r="C10" s="18" t="s">
        <v>30</v>
      </c>
      <c r="D10" s="18" t="s">
        <v>20</v>
      </c>
      <c r="E10" s="18" t="s">
        <v>50</v>
      </c>
      <c r="F10" s="18" t="s">
        <v>51</v>
      </c>
      <c r="G10" s="18" t="s">
        <v>52</v>
      </c>
      <c r="H10" s="13"/>
      <c r="I10" s="13"/>
      <c r="J10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10 J11:J1048576">
      <formula1>"PASS, FAIL"</formula1>
    </dataValidation>
  </dataValidations>
  <pageMargins left="0.25" right="0.25" top="0.25" bottom="0.25" header="0.3" footer="0.3"/>
  <pageSetup paperSize="9" scale="77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D7" sqref="D7"/>
    </sheetView>
  </sheetViews>
  <sheetFormatPr defaultColWidth="8.53097345132743" defaultRowHeight="12.75" outlineLevelRow="7"/>
  <cols>
    <col min="1" max="1" width="4.53097345132743" style="1" customWidth="1"/>
    <col min="2" max="2" width="9.66371681415929" style="1" customWidth="1"/>
    <col min="3" max="3" width="12.3982300884956" style="1" customWidth="1"/>
    <col min="4" max="5" width="10.2654867256637" style="1" customWidth="1"/>
    <col min="6" max="6" width="48.1327433628319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19" t="s">
        <v>22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26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19" t="s">
        <v>53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299.25" spans="1:10">
      <c r="A7" s="11">
        <v>1</v>
      </c>
      <c r="B7" s="12" t="s">
        <v>41</v>
      </c>
      <c r="C7" s="18" t="s">
        <v>24</v>
      </c>
      <c r="D7" s="18" t="s">
        <v>20</v>
      </c>
      <c r="E7" s="18" t="s">
        <v>42</v>
      </c>
      <c r="F7" s="18" t="s">
        <v>55</v>
      </c>
      <c r="G7" s="18" t="s">
        <v>56</v>
      </c>
      <c r="H7" s="13"/>
      <c r="I7" s="13"/>
      <c r="J7" s="14"/>
    </row>
    <row r="8" ht="85.5" spans="1:10">
      <c r="A8" s="11">
        <v>2</v>
      </c>
      <c r="B8" s="12" t="s">
        <v>41</v>
      </c>
      <c r="C8" s="18" t="s">
        <v>24</v>
      </c>
      <c r="D8" s="18" t="s">
        <v>20</v>
      </c>
      <c r="E8" s="18" t="s">
        <v>45</v>
      </c>
      <c r="F8" s="18" t="s">
        <v>46</v>
      </c>
      <c r="G8" s="18" t="s">
        <v>56</v>
      </c>
      <c r="H8" s="13"/>
      <c r="I8" s="13"/>
      <c r="J8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8 J9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F8" sqref="F8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57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58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59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185.25" spans="1:10">
      <c r="A7" s="11">
        <v>1</v>
      </c>
      <c r="B7" s="12" t="s">
        <v>41</v>
      </c>
      <c r="C7" s="12" t="s">
        <v>30</v>
      </c>
      <c r="D7" s="12" t="s">
        <v>60</v>
      </c>
      <c r="E7" s="12" t="s">
        <v>61</v>
      </c>
      <c r="F7" s="12" t="s">
        <v>62</v>
      </c>
      <c r="G7" s="12" t="s">
        <v>63</v>
      </c>
      <c r="H7" s="13"/>
      <c r="I7" s="13"/>
      <c r="J7" s="14"/>
    </row>
    <row r="8" ht="85.5" spans="1:10">
      <c r="A8" s="11">
        <v>2</v>
      </c>
      <c r="B8" s="12" t="s">
        <v>41</v>
      </c>
      <c r="C8" s="12" t="s">
        <v>30</v>
      </c>
      <c r="D8" s="12" t="s">
        <v>60</v>
      </c>
      <c r="E8" s="12" t="s">
        <v>64</v>
      </c>
      <c r="F8" s="18" t="s">
        <v>65</v>
      </c>
      <c r="G8" s="12" t="s">
        <v>66</v>
      </c>
      <c r="H8" s="13"/>
      <c r="I8" s="13"/>
      <c r="J8" s="14"/>
    </row>
    <row r="9" ht="71.25" spans="1:10">
      <c r="A9" s="11">
        <v>3</v>
      </c>
      <c r="B9" s="12" t="s">
        <v>41</v>
      </c>
      <c r="C9" s="12" t="s">
        <v>30</v>
      </c>
      <c r="D9" s="12" t="s">
        <v>60</v>
      </c>
      <c r="E9" s="12" t="s">
        <v>67</v>
      </c>
      <c r="F9" s="12" t="s">
        <v>68</v>
      </c>
      <c r="G9" s="12" t="s">
        <v>69</v>
      </c>
      <c r="H9" s="13"/>
      <c r="I9" s="13"/>
      <c r="J9" s="14"/>
    </row>
    <row r="10" ht="71.25" spans="1:10">
      <c r="A10" s="17">
        <v>4</v>
      </c>
      <c r="B10" s="12" t="s">
        <v>41</v>
      </c>
      <c r="C10" s="12" t="s">
        <v>30</v>
      </c>
      <c r="D10" s="12" t="s">
        <v>60</v>
      </c>
      <c r="E10" s="12" t="s">
        <v>70</v>
      </c>
      <c r="F10" s="12" t="s">
        <v>68</v>
      </c>
      <c r="G10" s="12" t="s">
        <v>69</v>
      </c>
      <c r="H10" s="13"/>
      <c r="I10" s="13"/>
      <c r="J10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10 J11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C5" sqref="C5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71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72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73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128.25" spans="1:10">
      <c r="A7" s="11">
        <v>1</v>
      </c>
      <c r="B7" s="12" t="s">
        <v>41</v>
      </c>
      <c r="C7" s="12" t="s">
        <v>30</v>
      </c>
      <c r="D7" s="12" t="s">
        <v>74</v>
      </c>
      <c r="E7" s="12" t="s">
        <v>61</v>
      </c>
      <c r="F7" s="12" t="s">
        <v>75</v>
      </c>
      <c r="G7" s="12" t="s">
        <v>76</v>
      </c>
      <c r="H7" s="13"/>
      <c r="I7" s="13"/>
      <c r="J7" s="14"/>
    </row>
    <row r="8" ht="85.5" spans="1:10">
      <c r="A8" s="11">
        <v>2</v>
      </c>
      <c r="B8" s="12" t="s">
        <v>41</v>
      </c>
      <c r="C8" s="12" t="s">
        <v>30</v>
      </c>
      <c r="D8" s="12" t="s">
        <v>74</v>
      </c>
      <c r="E8" s="12" t="s">
        <v>64</v>
      </c>
      <c r="F8" s="12" t="s">
        <v>77</v>
      </c>
      <c r="G8" s="12" t="s">
        <v>78</v>
      </c>
      <c r="H8" s="13"/>
      <c r="I8" s="13"/>
      <c r="J8" s="14"/>
    </row>
    <row r="9" ht="71.25" spans="1:10">
      <c r="A9" s="11">
        <v>3</v>
      </c>
      <c r="B9" s="12" t="s">
        <v>41</v>
      </c>
      <c r="C9" s="12" t="s">
        <v>30</v>
      </c>
      <c r="D9" s="12" t="s">
        <v>74</v>
      </c>
      <c r="E9" s="12" t="s">
        <v>67</v>
      </c>
      <c r="F9" s="12" t="s">
        <v>79</v>
      </c>
      <c r="G9" s="12" t="s">
        <v>80</v>
      </c>
      <c r="H9" s="13"/>
      <c r="I9" s="13"/>
      <c r="J9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C5" sqref="C5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81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82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83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114" spans="1:10">
      <c r="A7" s="11">
        <v>1</v>
      </c>
      <c r="B7" s="12" t="s">
        <v>41</v>
      </c>
      <c r="C7" s="12" t="s">
        <v>84</v>
      </c>
      <c r="D7" s="12" t="s">
        <v>74</v>
      </c>
      <c r="E7" s="12" t="s">
        <v>61</v>
      </c>
      <c r="F7" s="12" t="s">
        <v>85</v>
      </c>
      <c r="G7" s="12" t="s">
        <v>76</v>
      </c>
      <c r="H7" s="13"/>
      <c r="I7" s="13"/>
      <c r="J7" s="14"/>
    </row>
    <row r="8" ht="85.5" spans="1:10">
      <c r="A8" s="11">
        <v>2</v>
      </c>
      <c r="B8" s="12" t="s">
        <v>41</v>
      </c>
      <c r="C8" s="12" t="s">
        <v>84</v>
      </c>
      <c r="D8" s="12" t="s">
        <v>74</v>
      </c>
      <c r="E8" s="12" t="s">
        <v>64</v>
      </c>
      <c r="F8" s="12" t="s">
        <v>77</v>
      </c>
      <c r="G8" s="12" t="s">
        <v>78</v>
      </c>
      <c r="H8" s="13"/>
      <c r="I8" s="13"/>
      <c r="J8" s="14"/>
    </row>
    <row r="9" ht="71.25" spans="1:10">
      <c r="A9" s="11">
        <v>3</v>
      </c>
      <c r="B9" s="12" t="s">
        <v>41</v>
      </c>
      <c r="C9" s="12" t="s">
        <v>84</v>
      </c>
      <c r="D9" s="12" t="s">
        <v>74</v>
      </c>
      <c r="E9" s="12" t="s">
        <v>67</v>
      </c>
      <c r="F9" s="12" t="s">
        <v>79</v>
      </c>
      <c r="G9" s="12" t="s">
        <v>80</v>
      </c>
      <c r="H9" s="13"/>
      <c r="I9" s="13"/>
      <c r="J9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C5" sqref="C5"/>
    </sheetView>
  </sheetViews>
  <sheetFormatPr defaultColWidth="8.53097345132743" defaultRowHeight="12.75" outlineLevelRow="7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86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87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88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171" spans="1:10">
      <c r="A7" s="11">
        <v>1</v>
      </c>
      <c r="B7" s="12" t="s">
        <v>41</v>
      </c>
      <c r="C7" s="12" t="s">
        <v>30</v>
      </c>
      <c r="D7" s="12" t="s">
        <v>89</v>
      </c>
      <c r="E7" s="12" t="s">
        <v>61</v>
      </c>
      <c r="F7" s="12" t="s">
        <v>90</v>
      </c>
      <c r="G7" s="12" t="s">
        <v>91</v>
      </c>
      <c r="H7" s="13"/>
      <c r="I7" s="13"/>
      <c r="J7" s="14"/>
    </row>
    <row r="8" ht="85.5" spans="1:10">
      <c r="A8" s="17">
        <v>2</v>
      </c>
      <c r="B8" s="12" t="s">
        <v>41</v>
      </c>
      <c r="C8" s="12" t="s">
        <v>30</v>
      </c>
      <c r="D8" s="12" t="s">
        <v>89</v>
      </c>
      <c r="E8" s="12" t="s">
        <v>92</v>
      </c>
      <c r="F8" s="12" t="s">
        <v>77</v>
      </c>
      <c r="G8" s="12" t="s">
        <v>93</v>
      </c>
      <c r="H8" s="13"/>
      <c r="I8" s="13"/>
      <c r="J8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8 J9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C5" sqref="C5"/>
    </sheetView>
  </sheetViews>
  <sheetFormatPr defaultColWidth="8.53097345132743" defaultRowHeight="12.75" outlineLevelRow="6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94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95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96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71.25" spans="1:10">
      <c r="A7" s="11">
        <v>1</v>
      </c>
      <c r="B7" s="12" t="s">
        <v>41</v>
      </c>
      <c r="C7" s="12" t="s">
        <v>30</v>
      </c>
      <c r="D7" s="12" t="s">
        <v>97</v>
      </c>
      <c r="E7" s="12" t="s">
        <v>61</v>
      </c>
      <c r="F7" s="12" t="s">
        <v>98</v>
      </c>
      <c r="G7" s="12" t="s">
        <v>99</v>
      </c>
      <c r="H7" s="13"/>
      <c r="I7" s="13"/>
      <c r="J7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 J8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A4" sqref="A4:B4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100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101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102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 t="s">
        <v>24</v>
      </c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71.25" spans="1:10">
      <c r="A7" s="11">
        <v>1</v>
      </c>
      <c r="B7" s="12" t="s">
        <v>41</v>
      </c>
      <c r="C7" s="12" t="s">
        <v>21</v>
      </c>
      <c r="D7" s="12" t="s">
        <v>103</v>
      </c>
      <c r="E7" s="12" t="s">
        <v>61</v>
      </c>
      <c r="F7" s="12" t="s">
        <v>104</v>
      </c>
      <c r="G7" s="12" t="s">
        <v>105</v>
      </c>
      <c r="H7" s="13"/>
      <c r="I7" s="13"/>
      <c r="J7" s="14"/>
    </row>
    <row r="8" ht="85.5" spans="1:10">
      <c r="A8" s="11">
        <v>2</v>
      </c>
      <c r="B8" s="12" t="s">
        <v>41</v>
      </c>
      <c r="C8" s="12" t="s">
        <v>21</v>
      </c>
      <c r="D8" s="12" t="s">
        <v>103</v>
      </c>
      <c r="E8" s="12" t="s">
        <v>64</v>
      </c>
      <c r="F8" s="12" t="s">
        <v>106</v>
      </c>
      <c r="G8" s="12" t="s">
        <v>107</v>
      </c>
      <c r="H8" s="13"/>
      <c r="I8" s="13"/>
      <c r="J8" s="14"/>
    </row>
    <row r="9" ht="71.25" spans="1:10">
      <c r="A9" s="11">
        <v>3</v>
      </c>
      <c r="B9" s="12" t="s">
        <v>41</v>
      </c>
      <c r="C9" s="12" t="s">
        <v>21</v>
      </c>
      <c r="D9" s="12" t="s">
        <v>103</v>
      </c>
      <c r="E9" s="12" t="s">
        <v>67</v>
      </c>
      <c r="F9" s="12" t="s">
        <v>108</v>
      </c>
      <c r="G9" s="12" t="s">
        <v>109</v>
      </c>
      <c r="H9" s="13"/>
      <c r="I9" s="13"/>
      <c r="J9" s="14"/>
    </row>
    <row r="10" ht="71.25" spans="1:10">
      <c r="A10" s="16">
        <v>4</v>
      </c>
      <c r="B10" s="12" t="s">
        <v>41</v>
      </c>
      <c r="C10" s="12" t="s">
        <v>21</v>
      </c>
      <c r="D10" s="12" t="s">
        <v>103</v>
      </c>
      <c r="E10" s="12" t="s">
        <v>110</v>
      </c>
      <c r="F10" s="12" t="s">
        <v>111</v>
      </c>
      <c r="G10" s="12" t="s">
        <v>112</v>
      </c>
      <c r="H10" s="13"/>
      <c r="I10" s="13"/>
      <c r="J10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10 J11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C4" sqref="C4"/>
    </sheetView>
  </sheetViews>
  <sheetFormatPr defaultColWidth="8.53097345132743" defaultRowHeight="12.75" outlineLevelRow="7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113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114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115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/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99.75" spans="1:10">
      <c r="A7" s="11">
        <v>1</v>
      </c>
      <c r="B7" s="12" t="s">
        <v>41</v>
      </c>
      <c r="C7" s="12" t="s">
        <v>21</v>
      </c>
      <c r="D7" s="12" t="s">
        <v>116</v>
      </c>
      <c r="E7" s="12" t="s">
        <v>61</v>
      </c>
      <c r="F7" s="12" t="s">
        <v>117</v>
      </c>
      <c r="G7" s="12" t="s">
        <v>118</v>
      </c>
      <c r="H7" s="13"/>
      <c r="I7" s="13"/>
      <c r="J7" s="14"/>
    </row>
    <row r="8" ht="85.5" spans="1:10">
      <c r="A8" s="15">
        <v>2</v>
      </c>
      <c r="B8" s="12" t="s">
        <v>41</v>
      </c>
      <c r="C8" s="12" t="s">
        <v>21</v>
      </c>
      <c r="D8" s="12" t="s">
        <v>116</v>
      </c>
      <c r="E8" s="12" t="s">
        <v>119</v>
      </c>
      <c r="F8" s="12" t="s">
        <v>106</v>
      </c>
      <c r="G8" s="12" t="s">
        <v>120</v>
      </c>
      <c r="H8" s="13"/>
      <c r="I8" s="13"/>
      <c r="J8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8 J9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xSplit="2" ySplit="6" topLeftCell="C7" activePane="bottomRight" state="frozen"/>
      <selection/>
      <selection pane="topRight"/>
      <selection pane="bottomLeft"/>
      <selection pane="bottomRight" activeCell="A5" sqref="A5"/>
    </sheetView>
  </sheetViews>
  <sheetFormatPr defaultColWidth="8.53097345132743" defaultRowHeight="12.75"/>
  <cols>
    <col min="1" max="1" width="4.53097345132743" style="1" customWidth="1"/>
    <col min="2" max="2" width="9.66371681415929" style="1" customWidth="1"/>
    <col min="3" max="3" width="12.3982300884956" style="1" customWidth="1"/>
    <col min="4" max="4" width="17.6637168141593" style="1" customWidth="1"/>
    <col min="5" max="5" width="10.2654867256637" style="1" customWidth="1"/>
    <col min="6" max="6" width="47.070796460177" style="1" customWidth="1"/>
    <col min="7" max="7" width="28.6017699115044" style="1" customWidth="1"/>
    <col min="8" max="8" width="22.8672566371681" style="1" customWidth="1"/>
    <col min="9" max="9" width="7.79646017699115" style="1" customWidth="1"/>
    <col min="10" max="10" width="31.929203539823" style="1" customWidth="1"/>
    <col min="11" max="11" width="24.6637168141593" style="1" customWidth="1"/>
    <col min="12" max="16384" width="8.53097345132743" style="1"/>
  </cols>
  <sheetData>
    <row r="1" ht="14.25" spans="1:10">
      <c r="A1" s="2" t="s">
        <v>25</v>
      </c>
      <c r="B1" s="2"/>
      <c r="C1" s="3" t="s">
        <v>121</v>
      </c>
      <c r="D1" s="4"/>
      <c r="E1" s="4"/>
      <c r="F1" s="4"/>
      <c r="G1" s="4"/>
      <c r="H1" s="4"/>
      <c r="I1" s="4"/>
      <c r="J1" s="4"/>
    </row>
    <row r="2" ht="14.25" spans="1:10">
      <c r="A2" s="2" t="s">
        <v>4</v>
      </c>
      <c r="B2" s="2"/>
      <c r="C2" s="5" t="s">
        <v>122</v>
      </c>
      <c r="D2" s="6"/>
      <c r="E2" s="6"/>
      <c r="F2" s="6"/>
      <c r="G2" s="6"/>
      <c r="H2" s="6"/>
      <c r="I2" s="6"/>
      <c r="J2" s="6"/>
    </row>
    <row r="3" ht="14.25" spans="1:10">
      <c r="A3" s="2" t="s">
        <v>27</v>
      </c>
      <c r="B3" s="2"/>
      <c r="C3" s="3" t="s">
        <v>123</v>
      </c>
      <c r="D3" s="4"/>
      <c r="E3" s="4"/>
      <c r="F3" s="4"/>
      <c r="G3" s="4"/>
      <c r="H3" s="4"/>
      <c r="I3" s="4"/>
      <c r="J3" s="4"/>
    </row>
    <row r="4" ht="14.25" spans="1:10">
      <c r="A4" s="2" t="s">
        <v>29</v>
      </c>
      <c r="B4" s="2"/>
      <c r="C4" s="4"/>
      <c r="D4" s="4"/>
      <c r="E4" s="4"/>
      <c r="F4" s="4"/>
      <c r="G4" s="4"/>
      <c r="H4" s="4"/>
      <c r="I4" s="4"/>
      <c r="J4" s="4"/>
    </row>
    <row r="5" ht="14.25" spans="1:10">
      <c r="A5"/>
      <c r="B5" s="7"/>
      <c r="C5"/>
      <c r="D5"/>
      <c r="E5"/>
      <c r="F5"/>
      <c r="G5"/>
      <c r="H5"/>
      <c r="I5"/>
      <c r="J5"/>
    </row>
    <row r="6" ht="14.25" spans="1:10">
      <c r="A6" s="8" t="s">
        <v>31</v>
      </c>
      <c r="B6" s="9" t="s">
        <v>32</v>
      </c>
      <c r="C6" s="8" t="s">
        <v>33</v>
      </c>
      <c r="D6" s="10" t="s">
        <v>34</v>
      </c>
      <c r="E6" s="10" t="s">
        <v>35</v>
      </c>
      <c r="F6" s="8" t="s">
        <v>36</v>
      </c>
      <c r="G6" s="8" t="s">
        <v>37</v>
      </c>
      <c r="H6" s="8" t="s">
        <v>54</v>
      </c>
      <c r="I6" s="8" t="s">
        <v>39</v>
      </c>
      <c r="J6" s="9" t="s">
        <v>40</v>
      </c>
    </row>
    <row r="7" ht="85.5" spans="1:10">
      <c r="A7" s="11">
        <v>1</v>
      </c>
      <c r="B7" s="12" t="s">
        <v>41</v>
      </c>
      <c r="C7" s="12" t="s">
        <v>21</v>
      </c>
      <c r="D7" s="12" t="s">
        <v>124</v>
      </c>
      <c r="E7" s="12" t="s">
        <v>125</v>
      </c>
      <c r="F7" s="12" t="s">
        <v>126</v>
      </c>
      <c r="G7" s="12" t="s">
        <v>127</v>
      </c>
      <c r="H7" s="13"/>
      <c r="I7" s="13"/>
      <c r="J7" s="14"/>
    </row>
    <row r="8" ht="85.5" spans="1:10">
      <c r="A8" s="11">
        <v>2</v>
      </c>
      <c r="B8" s="12" t="s">
        <v>41</v>
      </c>
      <c r="C8" s="12" t="s">
        <v>21</v>
      </c>
      <c r="D8" s="12" t="s">
        <v>124</v>
      </c>
      <c r="E8" s="12" t="s">
        <v>128</v>
      </c>
      <c r="F8" s="12" t="s">
        <v>126</v>
      </c>
      <c r="G8" s="12" t="s">
        <v>129</v>
      </c>
      <c r="H8" s="13"/>
      <c r="I8" s="13"/>
      <c r="J8" s="14"/>
    </row>
    <row r="9" ht="85.5" spans="1:10">
      <c r="A9" s="11">
        <v>3</v>
      </c>
      <c r="B9" s="12" t="s">
        <v>41</v>
      </c>
      <c r="C9" s="12" t="s">
        <v>21</v>
      </c>
      <c r="D9" s="12" t="s">
        <v>124</v>
      </c>
      <c r="E9" s="12" t="s">
        <v>130</v>
      </c>
      <c r="F9" s="12" t="s">
        <v>126</v>
      </c>
      <c r="G9" s="12" t="s">
        <v>131</v>
      </c>
      <c r="H9" s="13"/>
      <c r="I9" s="13"/>
      <c r="J9" s="14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:J1048576">
      <formula1>"PASS, FAIL"</formula1>
    </dataValidation>
  </dataValidations>
  <pageMargins left="0.75" right="0.75" top="1" bottom="1" header="0.5" footer="0.5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59AA9E0-A065-410D-8F09-CEAF9F5941E4}">
  <ds:schemaRefs/>
</ds:datastoreItem>
</file>

<file path=customXml/itemProps2.xml><?xml version="1.0" encoding="utf-8"?>
<ds:datastoreItem xmlns:ds="http://schemas.openxmlformats.org/officeDocument/2006/customXml" ds:itemID="{CF5B34E0-0F1D-4B99-AFB4-78AF71A11548}">
  <ds:schemaRefs/>
</ds:datastoreItem>
</file>

<file path=customXml/itemProps3.xml><?xml version="1.0" encoding="utf-8"?>
<ds:datastoreItem xmlns:ds="http://schemas.openxmlformats.org/officeDocument/2006/customXml" ds:itemID="{265B8256-28C1-484A-BB46-E2F689A1DE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Deloitte Touche Tohmatsu Services, Inc.</Company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KEK-UAT-SCRIPT</vt:lpstr>
      <vt:lpstr>KEK-011-A</vt:lpstr>
      <vt:lpstr>KEK-011-B</vt:lpstr>
      <vt:lpstr>KEK-030</vt:lpstr>
      <vt:lpstr>KEK-040 A</vt:lpstr>
      <vt:lpstr>KEK-040 B</vt:lpstr>
      <vt:lpstr>KEK-050</vt:lpstr>
      <vt:lpstr>KEK-060</vt:lpstr>
      <vt:lpstr>KEK-070</vt:lpstr>
      <vt:lpstr>KEK-080</vt:lpstr>
      <vt:lpstr>KEK-090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System Analyst DOT PTSN</cp:lastModifiedBy>
  <dcterms:created xsi:type="dcterms:W3CDTF">2018-04-09T11:27:00Z</dcterms:created>
  <cp:lastPrinted>2026-01-14T14:41:00Z</cp:lastPrinted>
  <dcterms:modified xsi:type="dcterms:W3CDTF">2026-01-15T12:47:31Z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0x0101005FB594C115356A40B1A03FCA6DD1F3B1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2021-05-30T10:18:56Z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26aece77-e099-4dce-9c47-cb480e212143</vt:lpwstr>
  </property>
  <property fmtid="{D5CDD505-2E9C-101B-9397-08002B2CF9AE}" pid="9" name="MSIP_Label_ea60d57e-af5b-4752-ac57-3e4f28ca11dc_ContentBits">
    <vt:lpwstr>0</vt:lpwstr>
  </property>
  <property fmtid="{D5CDD505-2E9C-101B-9397-08002B2CF9AE}" pid="10" name="ICV">
    <vt:lpwstr>27620CDA9381418B9FDA1A1D2BB1636C_13</vt:lpwstr>
  </property>
  <property fmtid="{D5CDD505-2E9C-101B-9397-08002B2CF9AE}" pid="11" name="KSOProductBuildVer">
    <vt:lpwstr>1033-12.2.0.23196</vt:lpwstr>
  </property>
</Properties>
</file>